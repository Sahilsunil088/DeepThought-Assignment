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itability Model" sheetId="1" state="visible" r:id="rId3"/>
    <sheet name="Scenario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<sst xmlns="http://schemas.openxmlformats.org/spreadsheetml/2006/main" count="108" uniqueCount="99">
  <si>
    <t xml:space="preserve">GlowNest — Dynamic Amazon Profitability Model</t>
  </si>
  <si>
    <t xml:space="preserve">DeepThought AI Business Analyst Assignment | Change any yellow cell — all outputs update automatically</t>
  </si>
  <si>
    <t xml:space="preserve">  INPUTS — Edit the yellow cells below</t>
  </si>
  <si>
    <t xml:space="preserve">Parameter</t>
  </si>
  <si>
    <t xml:space="preserve">Value</t>
  </si>
  <si>
    <t xml:space="preserve">Notes</t>
  </si>
  <si>
    <t xml:space="preserve">Selling Price (SP)</t>
  </si>
  <si>
    <t xml:space="preserve">₹ per unit</t>
  </si>
  <si>
    <t xml:space="preserve">Cost of Goods Sold (COGS)</t>
  </si>
  <si>
    <t xml:space="preserve">₹ per unit, incl. manufacturing &amp; logistics to Amazon</t>
  </si>
  <si>
    <t xml:space="preserve">Amazon Referral Fee (%)</t>
  </si>
  <si>
    <t xml:space="preserve">Typically 8–15% depending on category</t>
  </si>
  <si>
    <t xml:space="preserve">Monthly Ad Spend</t>
  </si>
  <si>
    <t xml:space="preserve">₹ total monthly advertising spend</t>
  </si>
  <si>
    <t xml:space="preserve">Units Sold via Ads (monthly)</t>
  </si>
  <si>
    <t xml:space="preserve">Ad-attributed units only</t>
  </si>
  <si>
    <t xml:space="preserve">Organic Units Sold (monthly)</t>
  </si>
  <si>
    <t xml:space="preserve">Units sold without ad attribution</t>
  </si>
  <si>
    <t xml:space="preserve">Fixed Costs (monthly)</t>
  </si>
  <si>
    <t xml:space="preserve">Warehousing, team salary share, software</t>
  </si>
  <si>
    <t xml:space="preserve">  UNIT ECONOMICS</t>
  </si>
  <si>
    <t xml:space="preserve">Metric</t>
  </si>
  <si>
    <t xml:space="preserve">Formula / Logic</t>
  </si>
  <si>
    <t xml:space="preserve">Gross Margin per Unit</t>
  </si>
  <si>
    <t xml:space="preserve">SP − COGS</t>
  </si>
  <si>
    <t xml:space="preserve">Amazon Referral Fee per Unit</t>
  </si>
  <si>
    <t xml:space="preserve">SP × Fee %</t>
  </si>
  <si>
    <t xml:space="preserve">Ad Cost per Unit</t>
  </si>
  <si>
    <t xml:space="preserve">Ad Spend ÷ Ad Units</t>
  </si>
  <si>
    <t xml:space="preserve">Net Margin — Ad-attributed Unit</t>
  </si>
  <si>
    <t xml:space="preserve">Gross Margin − Amazon Fee − Ad Cost/Unit</t>
  </si>
  <si>
    <t xml:space="preserve">Net Margin — Organic Unit</t>
  </si>
  <si>
    <t xml:space="preserve">Gross Margin − Amazon Fee (no ad cost)</t>
  </si>
  <si>
    <t xml:space="preserve">  MONTHLY BUSINESS SUMMARY</t>
  </si>
  <si>
    <t xml:space="preserve">Total Units Sold</t>
  </si>
  <si>
    <t xml:space="preserve">Ad Units + Organic Units</t>
  </si>
  <si>
    <t xml:space="preserve">Total Monthly Revenue</t>
  </si>
  <si>
    <t xml:space="preserve">SP × Total Units</t>
  </si>
  <si>
    <t xml:space="preserve">Revenue from Ad Units</t>
  </si>
  <si>
    <t xml:space="preserve">SP × Ad Units</t>
  </si>
  <si>
    <t xml:space="preserve">Revenue from Organic Units</t>
  </si>
  <si>
    <t xml:space="preserve">SP × Organic Units</t>
  </si>
  <si>
    <t xml:space="preserve">Profit from Ad Units</t>
  </si>
  <si>
    <t xml:space="preserve">Net Margin (Ad) × Ad Units</t>
  </si>
  <si>
    <t xml:space="preserve">Profit from Organic Units</t>
  </si>
  <si>
    <t xml:space="preserve">Net Margin (Org) × Organic Units</t>
  </si>
  <si>
    <t xml:space="preserve">Less: Fixed Costs</t>
  </si>
  <si>
    <t xml:space="preserve">Warehousing, team, software</t>
  </si>
  <si>
    <t xml:space="preserve">TOTAL MONTHLY PROFIT</t>
  </si>
  <si>
    <t xml:space="preserve">Profit (Ad) + Profit (Org) − Fixed Costs</t>
  </si>
  <si>
    <t xml:space="preserve">  ADVERTISING HEALTH METRICS</t>
  </si>
  <si>
    <t xml:space="preserve">Benchmark / Notes</t>
  </si>
  <si>
    <t xml:space="preserve">ACOS (Advertising Cost of Sale)</t>
  </si>
  <si>
    <t xml:space="preserve">Healthy: typically &lt; 30% for premium products</t>
  </si>
  <si>
    <t xml:space="preserve">TACOS (Total Advertising Cost of Sale)</t>
  </si>
  <si>
    <t xml:space="preserve">Healthy: &lt; 15%; Excellent: &lt; 10%</t>
  </si>
  <si>
    <t xml:space="preserve">ROAS (Return on Ad Spend)</t>
  </si>
  <si>
    <t xml:space="preserve">Healthy: &gt; 3x for most categories</t>
  </si>
  <si>
    <t xml:space="preserve">Ad-attributed Revenue Share</t>
  </si>
  <si>
    <t xml:space="preserve">% of revenue from ads vs organic</t>
  </si>
  <si>
    <t xml:space="preserve">Break-Even Ad Spend</t>
  </si>
  <si>
    <t xml:space="preserve">Max ad spend before profit = 0</t>
  </si>
  <si>
    <t xml:space="preserve">Break-Even ACOS</t>
  </si>
  <si>
    <t xml:space="preserve">ACOS at which ad profit → 0</t>
  </si>
  <si>
    <t xml:space="preserve">Net Profit Margin</t>
  </si>
  <si>
    <t xml:space="preserve">Monthly profit as % of revenue</t>
  </si>
  <si>
    <t xml:space="preserve">GlowNest — Scenario Analysis (Links to Profitability Model)</t>
  </si>
  <si>
    <t xml:space="preserve">Each scenario column shows what happens when one variable changes. All other inputs stay at base case values.</t>
  </si>
  <si>
    <t xml:space="preserve">  SCENARIO INPUTS (Blue = changed from base)</t>
  </si>
  <si>
    <t xml:space="preserve">Base Case</t>
  </si>
  <si>
    <t xml:space="preserve">S1: Price Up
(SP ₹950)</t>
  </si>
  <si>
    <t xml:space="preserve">S2: COGS +20%
(₹336)</t>
  </si>
  <si>
    <t xml:space="preserve">S3: Organic
Growth (3,500)</t>
  </si>
  <si>
    <t xml:space="preserve">S4: Price War
(SP ₹700)</t>
  </si>
  <si>
    <t xml:space="preserve">Selling Price (SP) ₹</t>
  </si>
  <si>
    <t xml:space="preserve">COGS ₹</t>
  </si>
  <si>
    <t xml:space="preserve">Amazon Referral Fee %</t>
  </si>
  <si>
    <t xml:space="preserve">Monthly Ad Spend ₹</t>
  </si>
  <si>
    <t xml:space="preserve">Units via Ads</t>
  </si>
  <si>
    <t xml:space="preserve">Organic Units</t>
  </si>
  <si>
    <t xml:space="preserve">Fixed Costs ₹</t>
  </si>
  <si>
    <t xml:space="preserve">  SCENARIO OUTPUTS (Auto-calculated)</t>
  </si>
  <si>
    <t xml:space="preserve">S1: Price Up
₹950</t>
  </si>
  <si>
    <t xml:space="preserve">S2: COGS +20%
₹336</t>
  </si>
  <si>
    <t xml:space="preserve">S3: Organic
3,500 units</t>
  </si>
  <si>
    <t xml:space="preserve">S4: Price War
₹700</t>
  </si>
  <si>
    <t xml:space="preserve">Gross Margin per Unit ₹</t>
  </si>
  <si>
    <t xml:space="preserve">Amazon Fee per Unit ₹</t>
  </si>
  <si>
    <t xml:space="preserve">Ad Cost per Unit ₹</t>
  </si>
  <si>
    <t xml:space="preserve">Net Margin — Ad Unit ₹</t>
  </si>
  <si>
    <t xml:space="preserve">Net Margin — Organic Unit ₹</t>
  </si>
  <si>
    <t xml:space="preserve">Total Monthly Revenue ₹</t>
  </si>
  <si>
    <t xml:space="preserve">TOTAL MONTHLY PROFIT ₹</t>
  </si>
  <si>
    <t xml:space="preserve">ACOS</t>
  </si>
  <si>
    <t xml:space="preserve">TACOS</t>
  </si>
  <si>
    <t xml:space="preserve">ROAS</t>
  </si>
  <si>
    <t xml:space="preserve">Break-Even Ad Spend ₹</t>
  </si>
  <si>
    <t xml:space="preserve">Net Profit Margin %</t>
  </si>
  <si>
    <t xml:space="preserve">  COLOR KEY: Yellow bg = input changed from base | Green = healthy | Amber = warning | Red = danger/loss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</si>
</sst>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;&quot;(₹&quot;#,##0\);\-"/>
    <numFmt numFmtId="166" formatCode="0.0%"/>
    <numFmt numFmtId="167" formatCode="#,##0;\(#,##0\);\-"/>
    <numFmt numFmtId="168" formatCode="0.0%;\-0.0%;\-"/>
    <numFmt numFmtId="169" formatCode="\x#,##0.0"/>
    <numFmt numFmtId="170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FC7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276221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CE4D6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555555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4" min="3" style="0" width="22"/>
    <col collapsed="false" customWidth="true" hidden="false" outlineLevel="0" max="5" min="5" style="0" width="5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/>
      <c r="C4" s="3"/>
      <c r="D4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/>
    </row>
    <row r="6" customFormat="false" ht="15" hidden="false" customHeight="false" outlineLevel="0" collapsed="false">
      <c r="A6" s="5" t="s">
        <v>6</v>
      </c>
      <c r="B6" s="6" t="n">
        <v>800</v>
      </c>
      <c r="C6" s="7" t="s">
        <v>7</v>
      </c>
      <c r="D6" s="7"/>
    </row>
    <row r="7" customFormat="false" ht="15" hidden="false" customHeight="false" outlineLevel="0" collapsed="false">
      <c r="A7" s="5" t="s">
        <v>8</v>
      </c>
      <c r="B7" s="6" t="n">
        <v>280</v>
      </c>
      <c r="C7" s="7" t="s">
        <v>9</v>
      </c>
      <c r="D7" s="7"/>
    </row>
    <row r="8" customFormat="false" ht="15" hidden="false" customHeight="false" outlineLevel="0" collapsed="false">
      <c r="A8" s="5" t="s">
        <v>10</v>
      </c>
      <c r="B8" s="8" t="n">
        <v>0.12</v>
      </c>
      <c r="C8" s="7" t="s">
        <v>11</v>
      </c>
      <c r="D8" s="7"/>
    </row>
    <row r="9" customFormat="false" ht="15" hidden="false" customHeight="false" outlineLevel="0" collapsed="false">
      <c r="A9" s="5" t="s">
        <v>12</v>
      </c>
      <c r="B9" s="6" t="n">
        <v>300000</v>
      </c>
      <c r="C9" s="7" t="s">
        <v>13</v>
      </c>
      <c r="D9" s="7"/>
    </row>
    <row r="10" customFormat="false" ht="15" hidden="false" customHeight="false" outlineLevel="0" collapsed="false">
      <c r="A10" s="5" t="s">
        <v>14</v>
      </c>
      <c r="B10" s="9" t="n">
        <v>1500</v>
      </c>
      <c r="C10" s="7" t="s">
        <v>15</v>
      </c>
      <c r="D10" s="7"/>
    </row>
    <row r="11" customFormat="false" ht="15" hidden="false" customHeight="false" outlineLevel="0" collapsed="false">
      <c r="A11" s="5" t="s">
        <v>16</v>
      </c>
      <c r="B11" s="9" t="n">
        <v>2000</v>
      </c>
      <c r="C11" s="7" t="s">
        <v>17</v>
      </c>
      <c r="D11" s="7"/>
    </row>
    <row r="12" customFormat="false" ht="15" hidden="false" customHeight="false" outlineLevel="0" collapsed="false">
      <c r="A12" s="5" t="s">
        <v>18</v>
      </c>
      <c r="B12" s="6" t="n">
        <v>150000</v>
      </c>
      <c r="C12" s="7" t="s">
        <v>19</v>
      </c>
      <c r="D12" s="7"/>
    </row>
    <row r="14" customFormat="false" ht="21.75" hidden="false" customHeight="true" outlineLevel="0" collapsed="false">
      <c r="A14" s="3" t="s">
        <v>20</v>
      </c>
      <c r="B14" s="3"/>
      <c r="C14" s="3"/>
      <c r="D14" s="3"/>
    </row>
    <row r="15" customFormat="false" ht="30" hidden="false" customHeight="true" outlineLevel="0" collapsed="false">
      <c r="A15" s="4" t="s">
        <v>21</v>
      </c>
      <c r="B15" s="4" t="s">
        <v>4</v>
      </c>
      <c r="C15" s="4" t="s">
        <v>22</v>
      </c>
      <c r="D15" s="4"/>
    </row>
    <row r="16" customFormat="false" ht="15" hidden="false" customHeight="false" outlineLevel="0" collapsed="false">
      <c r="A16" s="5" t="s">
        <v>23</v>
      </c>
      <c r="B16" s="10" t="n">
        <f aca="false">B6-B7</f>
        <v>520</v>
      </c>
      <c r="C16" s="11" t="s">
        <v>24</v>
      </c>
      <c r="D16" s="11"/>
    </row>
    <row r="17" customFormat="false" ht="15" hidden="false" customHeight="false" outlineLevel="0" collapsed="false">
      <c r="A17" s="5" t="s">
        <v>25</v>
      </c>
      <c r="B17" s="10" t="n">
        <f aca="false">B6*B8</f>
        <v>96</v>
      </c>
      <c r="C17" s="11" t="s">
        <v>26</v>
      </c>
      <c r="D17" s="11"/>
    </row>
    <row r="18" customFormat="false" ht="15" hidden="false" customHeight="false" outlineLevel="0" collapsed="false">
      <c r="A18" s="5" t="s">
        <v>27</v>
      </c>
      <c r="B18" s="10" t="n">
        <f aca="false">B9/B10</f>
        <v>200</v>
      </c>
      <c r="C18" s="11" t="s">
        <v>28</v>
      </c>
      <c r="D18" s="11"/>
    </row>
    <row r="19" customFormat="false" ht="15" hidden="false" customHeight="false" outlineLevel="0" collapsed="false">
      <c r="A19" s="5" t="s">
        <v>29</v>
      </c>
      <c r="B19" s="12" t="n">
        <f aca="false">B16-B17-B18</f>
        <v>224</v>
      </c>
      <c r="C19" s="11" t="s">
        <v>30</v>
      </c>
      <c r="D19" s="11"/>
    </row>
    <row r="20" customFormat="false" ht="15" hidden="false" customHeight="false" outlineLevel="0" collapsed="false">
      <c r="A20" s="5" t="s">
        <v>31</v>
      </c>
      <c r="B20" s="12" t="n">
        <f aca="false">B16-B17</f>
        <v>424</v>
      </c>
      <c r="C20" s="11" t="s">
        <v>32</v>
      </c>
      <c r="D20" s="11"/>
    </row>
    <row r="22" customFormat="false" ht="21.75" hidden="false" customHeight="true" outlineLevel="0" collapsed="false">
      <c r="A22" s="3" t="s">
        <v>33</v>
      </c>
      <c r="B22" s="3"/>
      <c r="C22" s="3"/>
      <c r="D22" s="3"/>
    </row>
    <row r="23" customFormat="false" ht="30" hidden="false" customHeight="true" outlineLevel="0" collapsed="false">
      <c r="A23" s="4" t="s">
        <v>21</v>
      </c>
      <c r="B23" s="4" t="s">
        <v>4</v>
      </c>
      <c r="C23" s="4" t="s">
        <v>22</v>
      </c>
      <c r="D23" s="4"/>
    </row>
    <row r="24" customFormat="false" ht="15" hidden="false" customHeight="false" outlineLevel="0" collapsed="false">
      <c r="A24" s="5" t="s">
        <v>34</v>
      </c>
      <c r="B24" s="10" t="n">
        <f aca="false">B10+B11</f>
        <v>3500</v>
      </c>
      <c r="C24" s="11" t="s">
        <v>35</v>
      </c>
      <c r="D24" s="11"/>
    </row>
    <row r="25" customFormat="false" ht="15" hidden="false" customHeight="false" outlineLevel="0" collapsed="false">
      <c r="A25" s="5" t="s">
        <v>36</v>
      </c>
      <c r="B25" s="10" t="n">
        <f aca="false">B6*(B10+B11)</f>
        <v>2800000</v>
      </c>
      <c r="C25" s="11" t="s">
        <v>37</v>
      </c>
      <c r="D25" s="11"/>
    </row>
    <row r="26" customFormat="false" ht="15" hidden="false" customHeight="false" outlineLevel="0" collapsed="false">
      <c r="A26" s="5" t="s">
        <v>38</v>
      </c>
      <c r="B26" s="10" t="n">
        <f aca="false">B6*B10</f>
        <v>1200000</v>
      </c>
      <c r="C26" s="11" t="s">
        <v>39</v>
      </c>
      <c r="D26" s="11"/>
    </row>
    <row r="27" customFormat="false" ht="15" hidden="false" customHeight="false" outlineLevel="0" collapsed="false">
      <c r="A27" s="5" t="s">
        <v>40</v>
      </c>
      <c r="B27" s="10" t="n">
        <f aca="false">B6*B11</f>
        <v>1600000</v>
      </c>
      <c r="C27" s="11" t="s">
        <v>41</v>
      </c>
      <c r="D27" s="11"/>
    </row>
    <row r="28" customFormat="false" ht="15" hidden="false" customHeight="false" outlineLevel="0" collapsed="false">
      <c r="A28" s="5" t="s">
        <v>42</v>
      </c>
      <c r="B28" s="10" t="n">
        <f aca="false">B19*B10</f>
        <v>336000</v>
      </c>
      <c r="C28" s="11" t="s">
        <v>43</v>
      </c>
      <c r="D28" s="11"/>
    </row>
    <row r="29" customFormat="false" ht="15" hidden="false" customHeight="false" outlineLevel="0" collapsed="false">
      <c r="A29" s="5" t="s">
        <v>44</v>
      </c>
      <c r="B29" s="10" t="n">
        <f aca="false">B20*B11</f>
        <v>848000</v>
      </c>
      <c r="C29" s="11" t="s">
        <v>45</v>
      </c>
      <c r="D29" s="11"/>
    </row>
    <row r="30" customFormat="false" ht="15" hidden="false" customHeight="false" outlineLevel="0" collapsed="false">
      <c r="A30" s="5" t="s">
        <v>46</v>
      </c>
      <c r="B30" s="13" t="n">
        <f aca="false">-B12</f>
        <v>-150000</v>
      </c>
      <c r="C30" s="11" t="s">
        <v>47</v>
      </c>
      <c r="D30" s="11"/>
    </row>
    <row r="31" customFormat="false" ht="15" hidden="false" customHeight="false" outlineLevel="0" collapsed="false">
      <c r="A31" s="5" t="s">
        <v>48</v>
      </c>
      <c r="B31" s="14" t="n">
        <f aca="false">B28+B29+B30</f>
        <v>1034000</v>
      </c>
      <c r="C31" s="11" t="s">
        <v>49</v>
      </c>
      <c r="D31" s="11"/>
    </row>
    <row r="33" customFormat="false" ht="21.75" hidden="false" customHeight="true" outlineLevel="0" collapsed="false">
      <c r="A33" s="3" t="s">
        <v>50</v>
      </c>
      <c r="B33" s="3"/>
      <c r="C33" s="3"/>
      <c r="D33" s="3"/>
    </row>
    <row r="34" customFormat="false" ht="30" hidden="false" customHeight="true" outlineLevel="0" collapsed="false">
      <c r="A34" s="4" t="s">
        <v>21</v>
      </c>
      <c r="B34" s="4" t="s">
        <v>4</v>
      </c>
      <c r="C34" s="4" t="s">
        <v>51</v>
      </c>
      <c r="D34" s="4"/>
    </row>
    <row r="35" customFormat="false" ht="15" hidden="false" customHeight="false" outlineLevel="0" collapsed="false">
      <c r="A35" s="5" t="s">
        <v>52</v>
      </c>
      <c r="B35" s="15" t="n">
        <f aca="false">IF(B10=0,"",B9/(B6*B10))</f>
        <v>0.25</v>
      </c>
      <c r="C35" s="11" t="s">
        <v>53</v>
      </c>
      <c r="D35" s="11"/>
    </row>
    <row r="36" customFormat="false" ht="15" hidden="false" customHeight="false" outlineLevel="0" collapsed="false">
      <c r="A36" s="5" t="s">
        <v>54</v>
      </c>
      <c r="B36" s="15" t="n">
        <f aca="false">IF(B25=0,"",B9/B25)</f>
        <v>0.107142857142857</v>
      </c>
      <c r="C36" s="11" t="s">
        <v>55</v>
      </c>
      <c r="D36" s="11"/>
    </row>
    <row r="37" customFormat="false" ht="15" hidden="false" customHeight="false" outlineLevel="0" collapsed="false">
      <c r="A37" s="5" t="s">
        <v>56</v>
      </c>
      <c r="B37" s="16" t="n">
        <f aca="false">IF(B9=0,"",B26/B9)</f>
        <v>4</v>
      </c>
      <c r="C37" s="11" t="s">
        <v>57</v>
      </c>
      <c r="D37" s="11"/>
    </row>
    <row r="38" customFormat="false" ht="15" hidden="false" customHeight="false" outlineLevel="0" collapsed="false">
      <c r="A38" s="5" t="s">
        <v>58</v>
      </c>
      <c r="B38" s="15" t="n">
        <f aca="false">IF(B25=0,"",B26/B25)</f>
        <v>0.428571428571429</v>
      </c>
      <c r="C38" s="11" t="s">
        <v>59</v>
      </c>
      <c r="D38" s="11"/>
    </row>
    <row r="39" customFormat="false" ht="15" hidden="false" customHeight="false" outlineLevel="0" collapsed="false">
      <c r="A39" s="5" t="s">
        <v>60</v>
      </c>
      <c r="B39" s="17" t="n">
        <f aca="false">B20*B10+B20*B11-B12</f>
        <v>1334000</v>
      </c>
      <c r="C39" s="11" t="s">
        <v>61</v>
      </c>
      <c r="D39" s="11"/>
    </row>
    <row r="40" customFormat="false" ht="15" hidden="false" customHeight="false" outlineLevel="0" collapsed="false">
      <c r="A40" s="5" t="s">
        <v>62</v>
      </c>
      <c r="B40" s="15" t="n">
        <f aca="false">IF(B26=0,"",B39/B26)</f>
        <v>1.11166666666667</v>
      </c>
      <c r="C40" s="11" t="s">
        <v>63</v>
      </c>
      <c r="D40" s="11"/>
    </row>
    <row r="41" customFormat="false" ht="15" hidden="false" customHeight="false" outlineLevel="0" collapsed="false">
      <c r="A41" s="5" t="s">
        <v>64</v>
      </c>
      <c r="B41" s="15" t="n">
        <f aca="false">IF(B25=0,"",B31/B25)</f>
        <v>0.369285714285714</v>
      </c>
      <c r="C41" s="11" t="s">
        <v>65</v>
      </c>
      <c r="D41" s="11"/>
    </row>
  </sheetData>
  <mergeCells count="33">
    <mergeCell ref="A1:D1"/>
    <mergeCell ref="A2:D2"/>
    <mergeCell ref="A4:D4"/>
    <mergeCell ref="C6:D6"/>
    <mergeCell ref="C7:D7"/>
    <mergeCell ref="C8:D8"/>
    <mergeCell ref="C9:D9"/>
    <mergeCell ref="C10:D10"/>
    <mergeCell ref="C11:D11"/>
    <mergeCell ref="C12:D12"/>
    <mergeCell ref="A14:D14"/>
    <mergeCell ref="C16:D16"/>
    <mergeCell ref="C17:D17"/>
    <mergeCell ref="C18:D18"/>
    <mergeCell ref="C19:D19"/>
    <mergeCell ref="C20:D20"/>
    <mergeCell ref="A22:D22"/>
    <mergeCell ref="C24:D24"/>
    <mergeCell ref="C25:D25"/>
    <mergeCell ref="C26:D26"/>
    <mergeCell ref="C27:D27"/>
    <mergeCell ref="C28:D28"/>
    <mergeCell ref="C29:D29"/>
    <mergeCell ref="C30:D30"/>
    <mergeCell ref="C31:D31"/>
    <mergeCell ref="A33:D33"/>
    <mergeCell ref="C35:D35"/>
    <mergeCell ref="C36:D36"/>
    <mergeCell ref="C37:D37"/>
    <mergeCell ref="C38:D38"/>
    <mergeCell ref="C39:D39"/>
    <mergeCell ref="C40:D40"/>
    <mergeCell ref="C41:D41"/>
  </mergeCells>
  <conditionalFormatting sqref="B35">
    <cfRule type="cellIs" priority="2" operator="greaterThan" aboveAverage="0" equalAverage="0" bottom="0" percent="0" rank="0" text="" dxfId="0">
      <formula>0.35</formula>
    </cfRule>
    <cfRule type="cellIs" priority="3" operator="between" aboveAverage="0" equalAverage="0" bottom="0" percent="0" rank="0" text="" dxfId="1">
      <formula>0.25</formula>
      <formula>0.35</formula>
    </cfRule>
    <cfRule type="cellIs" priority="4" operator="lessThan" aboveAverage="0" equalAverage="0" bottom="0" percent="0" rank="0" text="" dxfId="2">
      <formula>0.25</formula>
    </cfRule>
  </conditionalFormatting>
  <conditionalFormatting sqref="B36">
    <cfRule type="cellIs" priority="5" operator="greaterThan" aboveAverage="0" equalAverage="0" bottom="0" percent="0" rank="0" text="" dxfId="0">
      <formula>0.15</formula>
    </cfRule>
    <cfRule type="cellIs" priority="6" operator="between" aboveAverage="0" equalAverage="0" bottom="0" percent="0" rank="0" text="" dxfId="1">
      <formula>0.1</formula>
      <formula>0.15</formula>
    </cfRule>
    <cfRule type="cellIs" priority="7" operator="lessThan" aboveAverage="0" equalAverage="0" bottom="0" percent="0" rank="0" text="" dxfId="2">
      <formula>0.1</formula>
    </cfRule>
  </conditionalFormatting>
  <conditionalFormatting sqref="B31">
    <cfRule type="cellIs" priority="8" operator="lessThan" aboveAverage="0" equalAverage="0" bottom="0" percent="0" rank="0" text="" dxfId="0">
      <formula>0</formula>
    </cfRule>
    <cfRule type="cellIs" priority="9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8"/>
  </cols>
  <sheetData>
    <row r="1" customFormat="false" ht="27.75" hidden="false" customHeight="true" outlineLevel="0" collapsed="false">
      <c r="A1" s="18" t="s">
        <v>66</v>
      </c>
      <c r="B1" s="18"/>
      <c r="C1" s="18"/>
      <c r="D1" s="18"/>
      <c r="E1" s="18"/>
      <c r="F1" s="18"/>
    </row>
    <row r="2" customFormat="false" ht="13.5" hidden="false" customHeight="true" outlineLevel="0" collapsed="false">
      <c r="A2" s="2" t="s">
        <v>67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19" t="s">
        <v>68</v>
      </c>
      <c r="B4" s="19"/>
      <c r="C4" s="19"/>
      <c r="D4" s="19"/>
      <c r="E4" s="19"/>
      <c r="F4" s="19"/>
    </row>
    <row r="5" customFormat="false" ht="31.5" hidden="false" customHeight="true" outlineLevel="0" collapsed="false">
      <c r="A5" s="4" t="s">
        <v>3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</row>
    <row r="6" customFormat="false" ht="15" hidden="false" customHeight="false" outlineLevel="0" collapsed="false">
      <c r="A6" s="5" t="s">
        <v>74</v>
      </c>
      <c r="B6" s="10" t="n">
        <v>800</v>
      </c>
      <c r="C6" s="20" t="n">
        <v>950</v>
      </c>
      <c r="D6" s="10" t="n">
        <v>800</v>
      </c>
      <c r="E6" s="10" t="n">
        <v>800</v>
      </c>
      <c r="F6" s="20" t="n">
        <v>700</v>
      </c>
    </row>
    <row r="7" customFormat="false" ht="15" hidden="false" customHeight="false" outlineLevel="0" collapsed="false">
      <c r="A7" s="5" t="s">
        <v>75</v>
      </c>
      <c r="B7" s="10" t="n">
        <v>280</v>
      </c>
      <c r="C7" s="10" t="n">
        <v>280</v>
      </c>
      <c r="D7" s="20" t="n">
        <v>336</v>
      </c>
      <c r="E7" s="10" t="n">
        <v>280</v>
      </c>
      <c r="F7" s="10" t="n">
        <v>280</v>
      </c>
    </row>
    <row r="8" customFormat="false" ht="15" hidden="false" customHeight="false" outlineLevel="0" collapsed="false">
      <c r="A8" s="5" t="s">
        <v>76</v>
      </c>
      <c r="B8" s="21" t="n">
        <v>0.12</v>
      </c>
      <c r="C8" s="21" t="n">
        <v>0.12</v>
      </c>
      <c r="D8" s="21" t="n">
        <v>0.12</v>
      </c>
      <c r="E8" s="21" t="n">
        <v>0.12</v>
      </c>
      <c r="F8" s="21" t="n">
        <v>0.12</v>
      </c>
    </row>
    <row r="9" customFormat="false" ht="15" hidden="false" customHeight="false" outlineLevel="0" collapsed="false">
      <c r="A9" s="5" t="s">
        <v>77</v>
      </c>
      <c r="B9" s="10" t="n">
        <v>300000</v>
      </c>
      <c r="C9" s="10" t="n">
        <v>300000</v>
      </c>
      <c r="D9" s="10" t="n">
        <v>300000</v>
      </c>
      <c r="E9" s="10" t="n">
        <v>300000</v>
      </c>
      <c r="F9" s="10" t="n">
        <v>300000</v>
      </c>
    </row>
    <row r="10" customFormat="false" ht="15" hidden="false" customHeight="false" outlineLevel="0" collapsed="false">
      <c r="A10" s="5" t="s">
        <v>78</v>
      </c>
      <c r="B10" s="22" t="n">
        <v>1500</v>
      </c>
      <c r="C10" s="22" t="n">
        <v>1500</v>
      </c>
      <c r="D10" s="22" t="n">
        <v>1500</v>
      </c>
      <c r="E10" s="22" t="n">
        <v>1500</v>
      </c>
      <c r="F10" s="22" t="n">
        <v>1500</v>
      </c>
    </row>
    <row r="11" customFormat="false" ht="15" hidden="false" customHeight="false" outlineLevel="0" collapsed="false">
      <c r="A11" s="5" t="s">
        <v>79</v>
      </c>
      <c r="B11" s="22" t="n">
        <v>2000</v>
      </c>
      <c r="C11" s="22" t="n">
        <v>2000</v>
      </c>
      <c r="D11" s="22" t="n">
        <v>2000</v>
      </c>
      <c r="E11" s="23" t="n">
        <v>3500</v>
      </c>
      <c r="F11" s="22" t="n">
        <v>2000</v>
      </c>
    </row>
    <row r="12" customFormat="false" ht="15" hidden="false" customHeight="false" outlineLevel="0" collapsed="false">
      <c r="A12" s="5" t="s">
        <v>80</v>
      </c>
      <c r="B12" s="10" t="n">
        <v>150000</v>
      </c>
      <c r="C12" s="10" t="n">
        <v>150000</v>
      </c>
      <c r="D12" s="10" t="n">
        <v>150000</v>
      </c>
      <c r="E12" s="10" t="n">
        <v>150000</v>
      </c>
      <c r="F12" s="10" t="n">
        <v>150000</v>
      </c>
    </row>
    <row r="14" customFormat="false" ht="21.75" hidden="false" customHeight="true" outlineLevel="0" collapsed="false">
      <c r="A14" s="19" t="s">
        <v>81</v>
      </c>
      <c r="B14" s="19"/>
      <c r="C14" s="19"/>
      <c r="D14" s="19"/>
      <c r="E14" s="19"/>
      <c r="F14" s="19"/>
    </row>
    <row r="15" customFormat="false" ht="31.5" hidden="false" customHeight="true" outlineLevel="0" collapsed="false">
      <c r="A15" s="4" t="s">
        <v>21</v>
      </c>
      <c r="B15" s="4" t="s">
        <v>69</v>
      </c>
      <c r="C15" s="4" t="s">
        <v>82</v>
      </c>
      <c r="D15" s="4" t="s">
        <v>83</v>
      </c>
      <c r="E15" s="4" t="s">
        <v>84</v>
      </c>
      <c r="F15" s="4" t="s">
        <v>85</v>
      </c>
    </row>
    <row r="16" customFormat="false" ht="15" hidden="false" customHeight="false" outlineLevel="0" collapsed="false">
      <c r="A16" s="5" t="s">
        <v>86</v>
      </c>
      <c r="B16" s="10" t="n">
        <f aca="false">(B6-B7)</f>
        <v>520</v>
      </c>
      <c r="C16" s="10" t="n">
        <f aca="false">(C6-C7)</f>
        <v>670</v>
      </c>
      <c r="D16" s="10" t="n">
        <f aca="false">(D6-D7)</f>
        <v>464</v>
      </c>
      <c r="E16" s="10" t="n">
        <f aca="false">(E6-E7)</f>
        <v>520</v>
      </c>
      <c r="F16" s="10" t="n">
        <f aca="false">(F6-F7)</f>
        <v>420</v>
      </c>
    </row>
    <row r="17" customFormat="false" ht="15" hidden="false" customHeight="false" outlineLevel="0" collapsed="false">
      <c r="A17" s="5" t="s">
        <v>87</v>
      </c>
      <c r="B17" s="10" t="n">
        <f aca="false">(B6*B8)</f>
        <v>96</v>
      </c>
      <c r="C17" s="10" t="n">
        <f aca="false">(C6*C8)</f>
        <v>114</v>
      </c>
      <c r="D17" s="10" t="n">
        <f aca="false">(D6*D8)</f>
        <v>96</v>
      </c>
      <c r="E17" s="10" t="n">
        <f aca="false">(E6*E8)</f>
        <v>96</v>
      </c>
      <c r="F17" s="10" t="n">
        <f aca="false">(F6*F8)</f>
        <v>84</v>
      </c>
    </row>
    <row r="18" customFormat="false" ht="15" hidden="false" customHeight="false" outlineLevel="0" collapsed="false">
      <c r="A18" s="5" t="s">
        <v>88</v>
      </c>
      <c r="B18" s="10" t="n">
        <f aca="false">(B9/B10)</f>
        <v>200</v>
      </c>
      <c r="C18" s="10" t="n">
        <f aca="false">(C9/C10)</f>
        <v>200</v>
      </c>
      <c r="D18" s="10" t="n">
        <f aca="false">(D9/D10)</f>
        <v>200</v>
      </c>
      <c r="E18" s="10" t="n">
        <f aca="false">(E9/E10)</f>
        <v>200</v>
      </c>
      <c r="F18" s="10" t="n">
        <f aca="false">(F9/F10)</f>
        <v>200</v>
      </c>
    </row>
    <row r="19" customFormat="false" ht="15" hidden="false" customHeight="false" outlineLevel="0" collapsed="false">
      <c r="A19" s="5" t="s">
        <v>89</v>
      </c>
      <c r="B19" s="12" t="n">
        <f aca="false">((B6-B7)-(B6*B8)-(B9/B10))</f>
        <v>224</v>
      </c>
      <c r="C19" s="12" t="n">
        <f aca="false">((C6-C7)-(C6*C8)-(C9/C10))</f>
        <v>356</v>
      </c>
      <c r="D19" s="12" t="n">
        <f aca="false">((D6-D7)-(D6*D8)-(D9/D10))</f>
        <v>168</v>
      </c>
      <c r="E19" s="12" t="n">
        <f aca="false">((E6-E7)-(E6*E8)-(E9/E10))</f>
        <v>224</v>
      </c>
      <c r="F19" s="12" t="n">
        <f aca="false">((F6-F7)-(F6*F8)-(F9/F10))</f>
        <v>136</v>
      </c>
    </row>
    <row r="20" customFormat="false" ht="15" hidden="false" customHeight="false" outlineLevel="0" collapsed="false">
      <c r="A20" s="5" t="s">
        <v>90</v>
      </c>
      <c r="B20" s="12" t="n">
        <f aca="false">((B6-B7)-(B6*B8))</f>
        <v>424</v>
      </c>
      <c r="C20" s="12" t="n">
        <f aca="false">((C6-C7)-(C6*C8))</f>
        <v>556</v>
      </c>
      <c r="D20" s="12" t="n">
        <f aca="false">((D6-D7)-(D6*D8))</f>
        <v>368</v>
      </c>
      <c r="E20" s="12" t="n">
        <f aca="false">((E6-E7)-(E6*E8))</f>
        <v>424</v>
      </c>
      <c r="F20" s="12" t="n">
        <f aca="false">((F6-F7)-(F6*F8))</f>
        <v>336</v>
      </c>
    </row>
    <row r="21" customFormat="false" ht="15" hidden="false" customHeight="false" outlineLevel="0" collapsed="false">
      <c r="A21" s="5" t="s">
        <v>91</v>
      </c>
      <c r="B21" s="10" t="n">
        <f aca="false">(B6*(B10+B11))</f>
        <v>2800000</v>
      </c>
      <c r="C21" s="10" t="n">
        <f aca="false">(C6*(C10+C11))</f>
        <v>3325000</v>
      </c>
      <c r="D21" s="10" t="n">
        <f aca="false">(D6*(D10+D11))</f>
        <v>2800000</v>
      </c>
      <c r="E21" s="10" t="n">
        <f aca="false">(E6*(E10+E11))</f>
        <v>4000000</v>
      </c>
      <c r="F21" s="10" t="n">
        <f aca="false">(F6*(F10+F11))</f>
        <v>2450000</v>
      </c>
    </row>
    <row r="22" customFormat="false" ht="15" hidden="false" customHeight="false" outlineLevel="0" collapsed="false">
      <c r="A22" s="5" t="s">
        <v>92</v>
      </c>
      <c r="B22" s="12" t="n">
        <f aca="false">(((B6-B7)-(B6*B8)-(B9/B10))*B10+((B6-B7)-(B6*B8))*B11-B12)</f>
        <v>1034000</v>
      </c>
      <c r="C22" s="12" t="n">
        <f aca="false">(((C6-C7)-(C6*C8)-(C9/C10))*C10+((C6-C7)-(C6*C8))*C11-C12)</f>
        <v>1496000</v>
      </c>
      <c r="D22" s="12" t="n">
        <f aca="false">(((D6-D7)-(D6*D8)-(D9/D10))*D10+((D6-D7)-(D6*D8))*D11-D12)</f>
        <v>838000</v>
      </c>
      <c r="E22" s="12" t="n">
        <f aca="false">(((E6-E7)-(E6*E8)-(E9/E10))*E10+((E6-E7)-(E6*E8))*E11-E12)</f>
        <v>1670000</v>
      </c>
      <c r="F22" s="12" t="n">
        <f aca="false">(((F6-F7)-(F6*F8)-(F9/F10))*F10+((F6-F7)-(F6*F8))*F11-F12)</f>
        <v>726000</v>
      </c>
    </row>
    <row r="23" customFormat="false" ht="15" hidden="false" customHeight="false" outlineLevel="0" collapsed="false">
      <c r="A23" s="5" t="s">
        <v>93</v>
      </c>
      <c r="B23" s="15" t="n">
        <f aca="false">IF(B10=0,"",B9/(B6*B10))</f>
        <v>0.25</v>
      </c>
      <c r="C23" s="15" t="n">
        <f aca="false">IF(C10=0,"",C9/(C6*C10))</f>
        <v>0.210526315789474</v>
      </c>
      <c r="D23" s="15" t="n">
        <f aca="false">IF(D10=0,"",D9/(D6*D10))</f>
        <v>0.25</v>
      </c>
      <c r="E23" s="15" t="n">
        <f aca="false">IF(E10=0,"",E9/(E6*E10))</f>
        <v>0.25</v>
      </c>
      <c r="F23" s="15" t="n">
        <f aca="false">IF(F10=0,"",F9/(F6*F10))</f>
        <v>0.285714285714286</v>
      </c>
    </row>
    <row r="24" customFormat="false" ht="15" hidden="false" customHeight="false" outlineLevel="0" collapsed="false">
      <c r="A24" s="5" t="s">
        <v>94</v>
      </c>
      <c r="B24" s="15" t="n">
        <f aca="false">IF((B6*(B10+B11))=0,"",B9/(B6*(B10+B11)))</f>
        <v>0.107142857142857</v>
      </c>
      <c r="C24" s="15" t="n">
        <f aca="false">IF((C6*(C10+C11))=0,"",C9/(C6*(C10+C11)))</f>
        <v>0.0902255639097744</v>
      </c>
      <c r="D24" s="15" t="n">
        <f aca="false">IF((D6*(D10+D11))=0,"",D9/(D6*(D10+D11)))</f>
        <v>0.107142857142857</v>
      </c>
      <c r="E24" s="15" t="n">
        <f aca="false">IF((E6*(E10+E11))=0,"",E9/(E6*(E10+E11)))</f>
        <v>0.075</v>
      </c>
      <c r="F24" s="15" t="n">
        <f aca="false">IF((F6*(F10+F11))=0,"",F9/(F6*(F10+F11)))</f>
        <v>0.122448979591837</v>
      </c>
    </row>
    <row r="25" customFormat="false" ht="15" hidden="false" customHeight="false" outlineLevel="0" collapsed="false">
      <c r="A25" s="5" t="s">
        <v>95</v>
      </c>
      <c r="B25" s="24" t="n">
        <f aca="false">IF(B9=0,"",(B6*B10)/B9)</f>
        <v>4</v>
      </c>
      <c r="C25" s="24" t="n">
        <f aca="false">IF(C9=0,"",(C6*C10)/C9)</f>
        <v>4.75</v>
      </c>
      <c r="D25" s="24" t="n">
        <f aca="false">IF(D9=0,"",(D6*D10)/D9)</f>
        <v>4</v>
      </c>
      <c r="E25" s="24" t="n">
        <f aca="false">IF(E9=0,"",(E6*E10)/E9)</f>
        <v>4</v>
      </c>
      <c r="F25" s="24" t="n">
        <f aca="false">IF(F9=0,"",(F6*F10)/F9)</f>
        <v>3.5</v>
      </c>
    </row>
    <row r="26" customFormat="false" ht="15" hidden="false" customHeight="false" outlineLevel="0" collapsed="false">
      <c r="A26" s="5" t="s">
        <v>96</v>
      </c>
      <c r="B26" s="25" t="n">
        <f aca="false">((B6-B7)-(B6*B8))*B10+((B6-B7)-(B6*B8))*B11-B12</f>
        <v>1334000</v>
      </c>
      <c r="C26" s="25" t="n">
        <f aca="false">((C6-C7)-(C6*C8))*C10+((C6-C7)-(C6*C8))*C11-C12</f>
        <v>1796000</v>
      </c>
      <c r="D26" s="25" t="n">
        <f aca="false">((D6-D7)-(D6*D8))*D10+((D6-D7)-(D6*D8))*D11-D12</f>
        <v>1138000</v>
      </c>
      <c r="E26" s="25" t="n">
        <f aca="false">((E6-E7)-(E6*E8))*E10+((E6-E7)-(E6*E8))*E11-E12</f>
        <v>1970000</v>
      </c>
      <c r="F26" s="25" t="n">
        <f aca="false">((F6-F7)-(F6*F8))*F10+((F6-F7)-(F6*F8))*F11-F12</f>
        <v>1026000</v>
      </c>
    </row>
    <row r="27" customFormat="false" ht="15" hidden="false" customHeight="false" outlineLevel="0" collapsed="false">
      <c r="A27" s="5" t="s">
        <v>97</v>
      </c>
      <c r="B27" s="15" t="n">
        <f aca="false">IF((B6*(B10+B11))=0,"",(((B6-B7)-(B6*B8)-(B9/B10))*B10+((B6-B7)-(B6*B8))*B11-B12)/(B6*(B10+B11)))</f>
        <v>0.369285714285714</v>
      </c>
      <c r="C27" s="15" t="n">
        <f aca="false">IF((C6*(C10+C11))=0,"",(((C6-C7)-(C6*C8)-(C9/C10))*C10+((C6-C7)-(C6*C8))*C11-C12)/(C6*(C10+C11)))</f>
        <v>0.449924812030075</v>
      </c>
      <c r="D27" s="15" t="n">
        <f aca="false">IF((D6*(D10+D11))=0,"",(((D6-D7)-(D6*D8)-(D9/D10))*D10+((D6-D7)-(D6*D8))*D11-D12)/(D6*(D10+D11)))</f>
        <v>0.299285714285714</v>
      </c>
      <c r="E27" s="15" t="n">
        <f aca="false">IF((E6*(E10+E11))=0,"",(((E6-E7)-(E6*E8)-(E9/E10))*E10+((E6-E7)-(E6*E8))*E11-E12)/(E6*(E10+E11)))</f>
        <v>0.4175</v>
      </c>
      <c r="F27" s="15" t="n">
        <f aca="false">IF((F6*(F10+F11))=0,"",(((F6-F7)-(F6*F8)-(F9/F10))*F10+((F6-F7)-(F6*F8))*F11-F12)/(F6*(F10+F11)))</f>
        <v>0.296326530612245</v>
      </c>
    </row>
    <row r="29" customFormat="false" ht="15" hidden="false" customHeight="false" outlineLevel="0" collapsed="false">
      <c r="A29" s="26" t="s">
        <v>98</v>
      </c>
      <c r="B29" s="26"/>
      <c r="C29" s="26"/>
      <c r="D29" s="26"/>
      <c r="E29" s="26"/>
      <c r="F29" s="26"/>
    </row>
  </sheetData>
  <mergeCells count="5">
    <mergeCell ref="A1:F1"/>
    <mergeCell ref="A2:F2"/>
    <mergeCell ref="A4:F4"/>
    <mergeCell ref="A14:F14"/>
    <mergeCell ref="A29:F29"/>
  </mergeCells>
  <conditionalFormatting sqref="B22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2">
      <formula>0</formula>
    </cfRule>
  </conditionalFormatting>
  <conditionalFormatting sqref="C22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2">
      <formula>0</formula>
    </cfRule>
  </conditionalFormatting>
  <conditionalFormatting sqref="D22">
    <cfRule type="cellIs" priority="6" operator="lessThan" aboveAverage="0" equalAverage="0" bottom="0" percent="0" rank="0" text="" dxfId="0">
      <formula>0</formula>
    </cfRule>
    <cfRule type="cellIs" priority="7" operator="greaterThan" aboveAverage="0" equalAverage="0" bottom="0" percent="0" rank="0" text="" dxfId="2">
      <formula>0</formula>
    </cfRule>
  </conditionalFormatting>
  <conditionalFormatting sqref="E22">
    <cfRule type="cellIs" priority="8" operator="lessThan" aboveAverage="0" equalAverage="0" bottom="0" percent="0" rank="0" text="" dxfId="0">
      <formula>0</formula>
    </cfRule>
    <cfRule type="cellIs" priority="9" operator="greaterThan" aboveAverage="0" equalAverage="0" bottom="0" percent="0" rank="0" text="" dxfId="2">
      <formula>0</formula>
    </cfRule>
  </conditionalFormatting>
  <conditionalFormatting sqref="F22">
    <cfRule type="cellIs" priority="10" operator="lessThan" aboveAverage="0" equalAverage="0" bottom="0" percent="0" rank="0" text="" dxfId="0">
      <formula>0</formula>
    </cfRule>
    <cfRule type="cellIs" priority="11" operator="greaterThan" aboveAverage="0" equalAverage="0" bottom="0" percent="0" rank="0" text="" dxfId="2">
      <formula>0</formula>
    </cfRule>
  </conditionalFormatting>
  <conditionalFormatting sqref="B23">
    <cfRule type="cellIs" priority="12" operator="greaterThan" aboveAverage="0" equalAverage="0" bottom="0" percent="0" rank="0" text="" dxfId="0">
      <formula>0.35</formula>
    </cfRule>
    <cfRule type="cellIs" priority="13" operator="between" aboveAverage="0" equalAverage="0" bottom="0" percent="0" rank="0" text="" dxfId="1">
      <formula>0.25</formula>
      <formula>0.35</formula>
    </cfRule>
    <cfRule type="cellIs" priority="14" operator="lessThan" aboveAverage="0" equalAverage="0" bottom="0" percent="0" rank="0" text="" dxfId="2">
      <formula>0.25</formula>
    </cfRule>
  </conditionalFormatting>
  <conditionalFormatting sqref="C23">
    <cfRule type="cellIs" priority="15" operator="greaterThan" aboveAverage="0" equalAverage="0" bottom="0" percent="0" rank="0" text="" dxfId="0">
      <formula>0.35</formula>
    </cfRule>
    <cfRule type="cellIs" priority="16" operator="between" aboveAverage="0" equalAverage="0" bottom="0" percent="0" rank="0" text="" dxfId="1">
      <formula>0.25</formula>
      <formula>0.35</formula>
    </cfRule>
    <cfRule type="cellIs" priority="17" operator="lessThan" aboveAverage="0" equalAverage="0" bottom="0" percent="0" rank="0" text="" dxfId="2">
      <formula>0.25</formula>
    </cfRule>
  </conditionalFormatting>
  <conditionalFormatting sqref="D23">
    <cfRule type="cellIs" priority="18" operator="greaterThan" aboveAverage="0" equalAverage="0" bottom="0" percent="0" rank="0" text="" dxfId="0">
      <formula>0.35</formula>
    </cfRule>
    <cfRule type="cellIs" priority="19" operator="between" aboveAverage="0" equalAverage="0" bottom="0" percent="0" rank="0" text="" dxfId="1">
      <formula>0.25</formula>
      <formula>0.35</formula>
    </cfRule>
    <cfRule type="cellIs" priority="20" operator="lessThan" aboveAverage="0" equalAverage="0" bottom="0" percent="0" rank="0" text="" dxfId="2">
      <formula>0.25</formula>
    </cfRule>
  </conditionalFormatting>
  <conditionalFormatting sqref="E23">
    <cfRule type="cellIs" priority="21" operator="greaterThan" aboveAverage="0" equalAverage="0" bottom="0" percent="0" rank="0" text="" dxfId="0">
      <formula>0.35</formula>
    </cfRule>
    <cfRule type="cellIs" priority="22" operator="between" aboveAverage="0" equalAverage="0" bottom="0" percent="0" rank="0" text="" dxfId="1">
      <formula>0.25</formula>
      <formula>0.35</formula>
    </cfRule>
    <cfRule type="cellIs" priority="23" operator="lessThan" aboveAverage="0" equalAverage="0" bottom="0" percent="0" rank="0" text="" dxfId="2">
      <formula>0.25</formula>
    </cfRule>
  </conditionalFormatting>
  <conditionalFormatting sqref="F23">
    <cfRule type="cellIs" priority="24" operator="greaterThan" aboveAverage="0" equalAverage="0" bottom="0" percent="0" rank="0" text="" dxfId="0">
      <formula>0.35</formula>
    </cfRule>
    <cfRule type="cellIs" priority="25" operator="between" aboveAverage="0" equalAverage="0" bottom="0" percent="0" rank="0" text="" dxfId="1">
      <formula>0.25</formula>
      <formula>0.35</formula>
    </cfRule>
    <cfRule type="cellIs" priority="26" operator="lessThan" aboveAverage="0" equalAverage="0" bottom="0" percent="0" rank="0" text="" dxfId="2">
      <formula>0.25</formula>
    </cfRule>
  </conditionalFormatting>
  <conditionalFormatting sqref="B24">
    <cfRule type="cellIs" priority="27" operator="greaterThan" aboveAverage="0" equalAverage="0" bottom="0" percent="0" rank="0" text="" dxfId="0">
      <formula>0.15</formula>
    </cfRule>
    <cfRule type="cellIs" priority="28" operator="between" aboveAverage="0" equalAverage="0" bottom="0" percent="0" rank="0" text="" dxfId="1">
      <formula>0.1</formula>
      <formula>0.15</formula>
    </cfRule>
    <cfRule type="cellIs" priority="29" operator="lessThan" aboveAverage="0" equalAverage="0" bottom="0" percent="0" rank="0" text="" dxfId="2">
      <formula>0.1</formula>
    </cfRule>
  </conditionalFormatting>
  <conditionalFormatting sqref="C24">
    <cfRule type="cellIs" priority="30" operator="greaterThan" aboveAverage="0" equalAverage="0" bottom="0" percent="0" rank="0" text="" dxfId="0">
      <formula>0.15</formula>
    </cfRule>
    <cfRule type="cellIs" priority="31" operator="between" aboveAverage="0" equalAverage="0" bottom="0" percent="0" rank="0" text="" dxfId="1">
      <formula>0.1</formula>
      <formula>0.15</formula>
    </cfRule>
    <cfRule type="cellIs" priority="32" operator="lessThan" aboveAverage="0" equalAverage="0" bottom="0" percent="0" rank="0" text="" dxfId="2">
      <formula>0.1</formula>
    </cfRule>
  </conditionalFormatting>
  <conditionalFormatting sqref="D24">
    <cfRule type="cellIs" priority="33" operator="greaterThan" aboveAverage="0" equalAverage="0" bottom="0" percent="0" rank="0" text="" dxfId="0">
      <formula>0.15</formula>
    </cfRule>
    <cfRule type="cellIs" priority="34" operator="between" aboveAverage="0" equalAverage="0" bottom="0" percent="0" rank="0" text="" dxfId="1">
      <formula>0.1</formula>
      <formula>0.15</formula>
    </cfRule>
    <cfRule type="cellIs" priority="35" operator="lessThan" aboveAverage="0" equalAverage="0" bottom="0" percent="0" rank="0" text="" dxfId="2">
      <formula>0.1</formula>
    </cfRule>
  </conditionalFormatting>
  <conditionalFormatting sqref="E24">
    <cfRule type="cellIs" priority="36" operator="greaterThan" aboveAverage="0" equalAverage="0" bottom="0" percent="0" rank="0" text="" dxfId="0">
      <formula>0.15</formula>
    </cfRule>
    <cfRule type="cellIs" priority="37" operator="between" aboveAverage="0" equalAverage="0" bottom="0" percent="0" rank="0" text="" dxfId="1">
      <formula>0.1</formula>
      <formula>0.15</formula>
    </cfRule>
    <cfRule type="cellIs" priority="38" operator="lessThan" aboveAverage="0" equalAverage="0" bottom="0" percent="0" rank="0" text="" dxfId="2">
      <formula>0.1</formula>
    </cfRule>
  </conditionalFormatting>
  <conditionalFormatting sqref="F24">
    <cfRule type="cellIs" priority="39" operator="greaterThan" aboveAverage="0" equalAverage="0" bottom="0" percent="0" rank="0" text="" dxfId="0">
      <formula>0.15</formula>
    </cfRule>
    <cfRule type="cellIs" priority="40" operator="between" aboveAverage="0" equalAverage="0" bottom="0" percent="0" rank="0" text="" dxfId="1">
      <formula>0.1</formula>
      <formula>0.15</formula>
    </cfRule>
    <cfRule type="cellIs" priority="41" operator="lessThan" aboveAverage="0" equalAverage="0" bottom="0" percent="0" rank="0" text="" dxfId="2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2026-06-02T06:40:33Z</dcterms:created>
  <dc:creator>openpyxl</dc:creator>
  <dc:description/>
  <dc:language>en-US</dc:language>
  <cp:lastModifiedBy/>
  <dcterms:modified xsi:type="dcterms:W3CDTF">2026-06-02T06:40:33Z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